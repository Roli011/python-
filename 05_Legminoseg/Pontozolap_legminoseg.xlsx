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asználati útmutató" sheetId="1" state="visible" r:id="rId1"/>
    <sheet xmlns:r="http://schemas.openxmlformats.org/officeDocument/2006/relationships" name="Vizsgazo1" sheetId="2" state="visible" r:id="rId2"/>
  </sheets>
  <definedNames>
    <definedName name="_xlnm.Print_Titles" localSheetId="1">'Vizsgazo1'!$1:$2</definedName>
    <definedName name="_xlnm.Print_Area" localSheetId="1">'Vizsgazo1'!$A$1:$D$26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 pont&quot;"/>
    <numFmt numFmtId="165" formatCode="General&quot; pont&quot;"/>
  </numFmts>
  <fonts count="22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Times New Roman"/>
      <charset val="238"/>
      <family val="1"/>
      <b val="1"/>
      <color theme="1"/>
      <sz val="16"/>
    </font>
    <font>
      <name val="Times New Roman"/>
      <charset val="238"/>
      <family val="1"/>
      <color theme="1"/>
      <sz val="12"/>
    </font>
    <font>
      <name val="Courier New"/>
      <charset val="238"/>
      <family val="3"/>
      <i val="1"/>
      <color theme="1"/>
      <sz val="11"/>
    </font>
    <font>
      <name val="Times New Roman"/>
      <charset val="238"/>
      <family val="1"/>
      <b val="1"/>
      <i val="1"/>
      <color theme="1"/>
      <sz val="12"/>
    </font>
    <font>
      <name val="Times New Roman"/>
      <charset val="238"/>
      <family val="1"/>
      <b val="1"/>
      <color theme="1"/>
      <sz val="12"/>
    </font>
    <font>
      <name val="Times New Roman"/>
      <charset val="238"/>
      <family val="1"/>
      <i val="1"/>
      <color theme="1"/>
      <sz val="12"/>
    </font>
    <font>
      <name val="Times New Roman"/>
      <charset val="238"/>
      <family val="1"/>
      <color rgb="FF000000"/>
      <sz val="12"/>
    </font>
    <font>
      <name val="Calibri"/>
      <charset val="238"/>
      <family val="2"/>
      <color indexed="8"/>
      <sz val="16"/>
    </font>
    <font>
      <name val="Calibri"/>
      <charset val="238"/>
      <family val="2"/>
      <b val="1"/>
      <i val="1"/>
      <color theme="1"/>
      <sz val="11"/>
      <scheme val="minor"/>
    </font>
    <font>
      <name val="Tahoma"/>
      <charset val="238"/>
      <family val="2"/>
      <color indexed="81"/>
      <sz val="10"/>
    </font>
    <font>
      <name val="Times New Roman"/>
      <charset val="238"/>
      <family val="1"/>
      <color indexed="8"/>
      <sz val="12"/>
    </font>
    <font>
      <name val="Times New Roman"/>
      <charset val="238"/>
      <family val="1"/>
      <b val="1"/>
      <color indexed="8"/>
      <sz val="12"/>
    </font>
    <font>
      <name val="Calibri"/>
      <charset val="238"/>
      <family val="2"/>
      <b val="1"/>
      <color theme="1"/>
      <sz val="12"/>
      <scheme val="minor"/>
    </font>
    <font>
      <name val="Tahoma"/>
      <charset val="238"/>
      <family val="2"/>
      <color indexed="81"/>
      <sz val="9"/>
    </font>
    <font>
      <name val="EB Garamond"/>
      <charset val="238"/>
      <b val="1"/>
      <color theme="1"/>
      <sz val="12"/>
    </font>
    <font>
      <name val="EB Garamond"/>
      <charset val="238"/>
      <b val="1"/>
      <i val="1"/>
      <color theme="1"/>
      <sz val="12"/>
    </font>
    <font>
      <name val="EB Garamond"/>
      <charset val="238"/>
      <color theme="1"/>
      <sz val="12"/>
    </font>
    <font>
      <name val="Symbol"/>
      <charset val="2"/>
      <family val="1"/>
      <color theme="1"/>
      <sz val="12"/>
    </font>
    <font>
      <name val="Times New Roman"/>
      <charset val="238"/>
      <family val="1"/>
      <color rgb="FFFF0000"/>
      <sz val="12"/>
    </font>
    <font>
      <name val="Courier New"/>
      <charset val="238"/>
      <family val="3"/>
      <color rgb="FF000000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14" fontId="0" fillId="0" borderId="1" applyAlignment="1" applyProtection="1" pivotButton="0" quotePrefix="0" xfId="0">
      <alignment horizontal="right" vertical="center"/>
      <protection locked="0" hidden="0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9" fillId="0" borderId="4" applyAlignment="1" pivotButton="0" quotePrefix="0" xfId="0">
      <alignment horizontal="left" vertical="center"/>
    </xf>
    <xf numFmtId="165" fontId="0" fillId="0" borderId="3" applyAlignment="1" pivotButton="0" quotePrefix="0" xfId="0">
      <alignment wrapText="1"/>
    </xf>
    <xf numFmtId="165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10" fillId="0" borderId="4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4" fontId="1" fillId="0" borderId="4" pivotButton="0" quotePrefix="0" xfId="0"/>
    <xf numFmtId="0" fontId="3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164" fontId="5" fillId="0" borderId="3" applyAlignment="1" pivotButton="0" quotePrefix="0" xfId="0">
      <alignment horizontal="right" wrapText="1"/>
    </xf>
    <xf numFmtId="0" fontId="5" fillId="0" borderId="6" applyAlignment="1" pivotButton="0" quotePrefix="0" xfId="0">
      <alignment vertical="center" wrapText="1"/>
    </xf>
    <xf numFmtId="164" fontId="5" fillId="0" borderId="7" applyAlignment="1" pivotButton="0" quotePrefix="0" xfId="0">
      <alignment horizontal="right" wrapText="1"/>
    </xf>
    <xf numFmtId="164" fontId="3" fillId="0" borderId="5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pivotButton="0" quotePrefix="0" xfId="0"/>
    <xf numFmtId="0" fontId="2" fillId="0" borderId="0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20" fillId="0" borderId="8" applyAlignment="1" pivotButton="0" quotePrefix="0" xfId="0">
      <alignment horizontal="right" wrapText="1"/>
    </xf>
    <xf numFmtId="164" fontId="20" fillId="0" borderId="7" applyAlignment="1" pivotButton="0" quotePrefix="0" xfId="0">
      <alignment horizontal="right" wrapText="1"/>
    </xf>
    <xf numFmtId="164" fontId="20" fillId="0" borderId="9" applyAlignment="1" pivotButton="0" quotePrefix="0" xfId="0">
      <alignment horizontal="right" wrapText="1"/>
    </xf>
    <xf numFmtId="0" fontId="16" fillId="0" borderId="0" applyAlignment="1" pivotButton="0" quotePrefix="0" xfId="0">
      <alignment vertical="center" wrapText="1"/>
    </xf>
    <xf numFmtId="164" fontId="20" fillId="0" borderId="3" applyAlignment="1" pivotButton="0" quotePrefix="0" xfId="0">
      <alignment horizontal="right" wrapText="1"/>
    </xf>
    <xf numFmtId="0" fontId="5" fillId="0" borderId="3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right" vertical="center" wrapText="1"/>
    </xf>
    <xf numFmtId="0" fontId="3" fillId="0" borderId="3" applyAlignment="1" pivotButton="0" quotePrefix="0" xfId="0">
      <alignment vertical="center" wrapText="1"/>
    </xf>
    <xf numFmtId="164" fontId="3" fillId="0" borderId="8" applyAlignment="1" pivotButton="0" quotePrefix="0" xfId="0">
      <alignment horizontal="right" wrapText="1"/>
    </xf>
    <xf numFmtId="164" fontId="3" fillId="0" borderId="9" applyAlignment="1" pivotButton="0" quotePrefix="0" xfId="0">
      <alignment horizontal="right" wrapText="1"/>
    </xf>
    <xf numFmtId="164" fontId="3" fillId="0" borderId="7" applyAlignment="1" pivotButton="0" quotePrefix="0" xfId="0">
      <alignment horizontal="right" wrapText="1"/>
    </xf>
    <xf numFmtId="164" fontId="20" fillId="0" borderId="10" applyAlignment="1" pivotButton="0" quotePrefix="0" xfId="0">
      <alignment horizontal="right" wrapText="1"/>
    </xf>
    <xf numFmtId="164" fontId="1" fillId="0" borderId="3" pivotButton="0" quotePrefix="0" xfId="0"/>
    <xf numFmtId="164" fontId="3" fillId="0" borderId="3" applyAlignment="1" pivotButton="0" quotePrefix="0" xfId="0">
      <alignment horizontal="right" wrapText="1"/>
    </xf>
    <xf numFmtId="164" fontId="20" fillId="0" borderId="4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left" vertical="center" wrapText="1"/>
    </xf>
    <xf numFmtId="14" fontId="0" fillId="0" borderId="0" pivotButton="0" quotePrefix="0" xfId="0"/>
    <xf numFmtId="14" fontId="0" fillId="0" borderId="0" applyAlignment="1" applyProtection="1" pivotButton="0" quotePrefix="0" xfId="0">
      <alignment horizontal="right" vertical="center"/>
      <protection locked="0" hidden="0"/>
    </xf>
    <xf numFmtId="0" fontId="14" fillId="0" borderId="0" applyAlignment="1" pivotButton="0" quotePrefix="0" xfId="0">
      <alignment horizontal="right" vertical="center"/>
    </xf>
    <xf numFmtId="164" fontId="1" fillId="0" borderId="11" pivotButton="0" quotePrefix="0" xfId="0"/>
    <xf numFmtId="164" fontId="1" fillId="0" borderId="10" pivotButton="0" quotePrefix="0" xfId="0"/>
    <xf numFmtId="164" fontId="1" fillId="0" borderId="12" pivotButton="0" quotePrefix="0" xfId="0"/>
    <xf numFmtId="0" fontId="0" fillId="0" borderId="4" applyAlignment="1" applyProtection="1" pivotButton="0" quotePrefix="1" xfId="0">
      <alignment horizontal="center" vertical="center"/>
      <protection locked="0" hidden="0"/>
    </xf>
    <xf numFmtId="0" fontId="3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14" pivotButton="0" quotePrefix="0" xfId="0"/>
  </cellXfs>
  <cellStyles count="1">
    <cellStyle name="Normál" xfId="0" builtinId="0"/>
  </cellStyles>
  <dxfs count="1">
    <dxf>
      <fill>
        <patternFill patternType="solid"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Szerző</author>
  </authors>
  <commentList>
    <comment ref="B8" authorId="0" shapeId="0">
      <text>
        <t>Nem tekintjük üresnek azt a bekezdést, amelyben szöveg nincs, de képet, szakasz- vagy hasábtörést vagy egyéb – a feladat szempontjából szükséges – objektumot tartalmaz.</t>
      </text>
    </comment>
    <comment ref="B14" authorId="0" shapeId="0">
      <text>
        <t>A pont jár akkor is, ha a felsorolásnál nincs a bekezdések között térköz.</t>
      </text>
    </comment>
    <comment ref="B15" authorId="0" shapeId="0">
      <text>
        <t>A pontok járnak, ha a beállítások legfeljebb három bekezdés esetén a megadottól eltérnek.</t>
      </text>
    </comment>
    <comment ref="B29" authorId="0" shapeId="0">
      <text>
        <t>A pont nem adható meg, ha a megadott szövegrészeknél kevesebb vagy annál több szövegből alakította ki a kéthasábos szakaszt.</t>
      </text>
    </comment>
    <comment ref="B33" authorId="0" shapeId="0">
      <text>
        <t>A pont nem adható meg, ha a kép a kéthasábos területen van</t>
      </text>
    </comment>
    <comment ref="B35" authorId="0" shapeId="0">
      <text>
        <t>A pont jár akkor is, ha az előző képnél nem állított be árnyékot vagy az előző kép hiányzik, de ennél a képnél a megadott beállításokkal van árnyék.</t>
      </text>
    </comment>
    <comment ref="B40" authorId="0" shapeId="0">
      <text>
        <t>A pont nem adható meg, ha a minta szerintinél több vagy kevesebb bekezdést alakított felsorolássá.</t>
      </text>
    </comment>
  </commentList>
</comment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4.5"/>
  <cols>
    <col width="79.54296875" customWidth="1" min="1" max="1"/>
  </cols>
  <sheetData>
    <row r="1" ht="36.5" customHeight="1">
      <c r="A1" s="13" t="inlineStr">
        <is>
          <t>Kedves Javító Kolléga!</t>
        </is>
      </c>
    </row>
    <row r="2" ht="15.5" customHeight="1">
      <c r="A2" s="14" t="n"/>
    </row>
    <row r="3" ht="37.5" customHeight="1">
      <c r="A3" s="14" t="inlineStr">
        <is>
          <t>A "Vizsgazo1" munkalapból minden vizsgázó számára készítsen egy másolatot!</t>
        </is>
      </c>
    </row>
    <row r="4" ht="36.75" customHeight="1">
      <c r="A4" s="14" t="inlineStr">
        <is>
          <t>A D1-es cellába írja be a vizsgázó nevét és osztályát!</t>
        </is>
      </c>
    </row>
    <row r="5" ht="68.75" customHeight="1">
      <c r="A5" s="15" t="inlineStr">
        <is>
          <t>Az értékelést az "A" oszlopban végezze. Amennyiben a vizsgázó a feladatrészt megoldotta, írjon 1-est, ha nem, írjon 0-t! A táblázatkezelő ennek segítségével meghatározza a részpontszámokat és összpontszámokat.</t>
        </is>
      </c>
    </row>
    <row r="6" ht="77.90000000000001" customHeight="1">
      <c r="A6" s="14" t="inlineStr">
        <is>
          <t>Az értékelés befejezése után az értékelési útmutató kinyomtatható. A nyomtatási terület ennek megfelelően beállított. 
A papírtakarékosság érdekében javasoljuk a füzetnyomtatás vagy a több oldal egy lapon beállítások használatát.</t>
        </is>
      </c>
    </row>
    <row r="7" ht="53.25" customHeight="1">
      <c r="A7" s="4" t="inlineStr">
        <is>
          <t>Amennyiben az egyes feladatokhoz megjegyzést szeretne írni, azt az E oszlopban teheti meg, ez nem része a nyomtatási területnek.</t>
        </is>
      </c>
    </row>
    <row r="8" ht="12.75" customHeight="1">
      <c r="A8" s="16" t="n"/>
    </row>
  </sheetData>
  <pageMargins left="0.7" right="0.7" top="0.75" bottom="0.75" header="0.3" footer="0.3"/>
  <pageSetup orientation="portrait" paperSize="9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zoomScale="115" zoomScaleNormal="115" zoomScaleSheetLayoutView="100" workbookViewId="0">
      <selection activeCell="B2" sqref="B2"/>
    </sheetView>
  </sheetViews>
  <sheetFormatPr baseColWidth="8" defaultColWidth="9.26953125" defaultRowHeight="14.5"/>
  <cols>
    <col width="5.08984375" customWidth="1" style="44" min="1" max="1"/>
    <col width="66.7265625" customWidth="1" min="2" max="2"/>
    <col width="9.08984375" bestFit="1" customWidth="1" min="3" max="3"/>
    <col width="10.7265625" customWidth="1" min="4" max="4"/>
  </cols>
  <sheetData>
    <row r="1" ht="33.75" customHeight="1">
      <c r="A1" s="24" t="n"/>
      <c r="B1" s="25" t="inlineStr">
        <is>
          <t>Digitális kultúra – Programozás, Python (gyakorló feladat) – értékelő lap</t>
        </is>
      </c>
      <c r="C1" s="26" t="n"/>
      <c r="D1" s="1" t="inlineStr">
        <is>
          <t>Név:  osztály:</t>
        </is>
      </c>
    </row>
    <row r="2">
      <c r="A2" s="24" t="n"/>
      <c r="B2" s="24" t="n"/>
      <c r="C2" s="24" t="n"/>
      <c r="D2" s="24" t="n"/>
    </row>
    <row r="3" thickBot="1">
      <c r="A3" s="24" t="n"/>
      <c r="B3" s="27" t="inlineStr">
        <is>
          <t>5. Légminőség-mérés</t>
        </is>
      </c>
      <c r="C3" s="24" t="n"/>
      <c r="D3" s="24" t="n"/>
    </row>
    <row r="4" thickBot="1">
      <c r="A4" s="24" t="n"/>
      <c r="B4" s="2" t="inlineStr">
        <is>
          <t>A program létrehozása</t>
        </is>
      </c>
      <c r="C4" s="57" t="n"/>
      <c r="D4" s="24" t="n"/>
    </row>
    <row r="5" ht="31.5" customHeight="1">
      <c r="A5" s="45" t="n">
        <v>0</v>
      </c>
      <c r="B5" s="4" t="inlineStr">
        <is>
          <t>Létezik a legminoseg program (legminoseg.py), és hibaüzenet nélkül lefut</t>
        </is>
      </c>
      <c r="C5" s="37" t="n">
        <v>1</v>
      </c>
      <c r="D5" s="43">
        <f>C5*A5</f>
        <v/>
      </c>
    </row>
    <row r="6" ht="31.5" customHeight="1" thickBot="1">
      <c r="A6" s="45" t="n">
        <v>0</v>
      </c>
      <c r="B6" s="4" t="inlineStr">
        <is>
          <t>Van legalább egy kiírás, amely a feladat sorszámát és a minta szerinti, tartalomra utaló szöveget tartalmazza</t>
        </is>
      </c>
      <c r="C6" s="37" t="n">
        <v>1</v>
      </c>
      <c r="D6" s="43">
        <f>C6*A6</f>
        <v/>
      </c>
    </row>
    <row r="7" thickBot="1">
      <c r="A7" s="24" t="n"/>
      <c r="B7" s="2" t="inlineStr">
        <is>
          <t>Az adatok tárolása (1. feladat)</t>
        </is>
      </c>
      <c r="C7" s="57" t="n"/>
      <c r="D7" s="24" t="n"/>
    </row>
    <row r="8" ht="31.5" customHeight="1" thickBot="1">
      <c r="A8" s="45" t="n">
        <v>0</v>
      </c>
      <c r="B8" s="4" t="inlineStr">
        <is>
          <t>Olyan adatszerkezetet (lista) választott, amelyben a 8 egész szám tárolható</t>
        </is>
      </c>
      <c r="C8" s="37" t="n">
        <v>1</v>
      </c>
      <c r="D8" s="43">
        <f>C8*A8</f>
        <v/>
      </c>
    </row>
    <row r="9" ht="31.5" customHeight="1" thickBot="1">
      <c r="A9" s="45" t="n">
        <v>0</v>
      </c>
      <c r="B9" s="4" t="inlineStr">
        <is>
          <t>A 8 mérési érték helyesen van eltárolva (a -1 értékekkel együtt)</t>
        </is>
      </c>
      <c r="C9" s="37" t="n">
        <v>1</v>
      </c>
      <c r="D9" s="43">
        <f>C9*A9</f>
        <v/>
      </c>
    </row>
    <row r="10">
      <c r="A10" s="24" t="n"/>
      <c r="B10" s="2" t="inlineStr">
        <is>
          <t>Érvényes mérések (2. feladat)</t>
        </is>
      </c>
      <c r="C10" s="57" t="n"/>
      <c r="D10" s="24" t="n"/>
    </row>
    <row r="11" ht="16.5" customHeight="1" thickBot="1">
      <c r="A11" s="45" t="n">
        <v>0</v>
      </c>
      <c r="B11" s="4" t="inlineStr">
        <is>
          <t>A -1 értékeket a feltétel kiszűri (pl. != -1 vagy &gt;= 0)</t>
        </is>
      </c>
      <c r="C11" s="37" t="n">
        <v>1</v>
      </c>
      <c r="D11" s="43">
        <f>C11*A11</f>
        <v/>
      </c>
    </row>
    <row r="12" ht="16.5" customHeight="1" thickBot="1">
      <c r="A12" s="45" t="n">
        <v>0</v>
      </c>
      <c r="B12" s="4" t="inlineStr">
        <is>
          <t>Az érvényes mérések számát helyesen határozta meg (6)</t>
        </is>
      </c>
      <c r="C12" s="37" t="n">
        <v>1</v>
      </c>
      <c r="D12" s="43">
        <f>C12*A12</f>
        <v/>
      </c>
    </row>
    <row r="13" ht="16.5" customHeight="1">
      <c r="A13" s="45" t="n">
        <v>0</v>
      </c>
      <c r="B13" s="4" t="inlineStr">
        <is>
          <t>Az átlagot az érvényes mérések számával számította (57.0)</t>
        </is>
      </c>
      <c r="C13" s="37" t="n">
        <v>1</v>
      </c>
      <c r="D13" s="43">
        <f>C13*A13</f>
        <v/>
      </c>
    </row>
    <row r="14" ht="16.5" customHeight="1">
      <c r="A14" s="45" t="n">
        <v>0</v>
      </c>
      <c r="B14" s="4" t="inlineStr">
        <is>
          <t>A kiírás a minta szerinti</t>
        </is>
      </c>
      <c r="C14" s="37" t="n">
        <v>1</v>
      </c>
      <c r="D14" s="43">
        <f>C14*A14</f>
        <v/>
      </c>
    </row>
    <row r="15" thickBot="1">
      <c r="A15" s="24" t="n"/>
      <c r="B15" s="2" t="inlineStr">
        <is>
          <t>Óránkénti összeg (3. feladat)</t>
        </is>
      </c>
      <c r="C15" s="57" t="n"/>
      <c r="D15" s="24" t="n"/>
    </row>
    <row r="16" ht="31.5" customHeight="1" thickBot="1">
      <c r="A16" s="45" t="n">
        <v>0</v>
      </c>
      <c r="B16" s="4" t="inlineStr">
        <is>
          <t>A méréseket helyesen csoportosítja órákra (óránként két egymást követő mérés)</t>
        </is>
      </c>
      <c r="C16" s="37" t="n">
        <v>1</v>
      </c>
      <c r="D16" s="43">
        <f>C16*A16</f>
        <v/>
      </c>
    </row>
    <row r="17" ht="31.5" customHeight="1">
      <c r="A17" s="45" t="n">
        <v>0</v>
      </c>
      <c r="B17" s="4" t="inlineStr">
        <is>
          <t>Mind a négy óra összege helyes, a -1 értékek nélkül (97, 61, 48, 136)</t>
        </is>
      </c>
      <c r="C17" s="37" t="n">
        <v>1</v>
      </c>
      <c r="D17" s="43">
        <f>C17*A17</f>
        <v/>
      </c>
    </row>
    <row r="18" ht="16.5" customHeight="1">
      <c r="A18" s="45" t="n">
        <v>0</v>
      </c>
      <c r="B18" s="4" t="inlineStr">
        <is>
          <t>A kiírás a minta szerinti</t>
        </is>
      </c>
      <c r="C18" s="37" t="n">
        <v>1</v>
      </c>
      <c r="D18" s="43">
        <f>C18*A18</f>
        <v/>
      </c>
    </row>
    <row r="19">
      <c r="A19" s="24" t="n"/>
      <c r="B19" s="2" t="inlineStr">
        <is>
          <t>Legnagyobb érték és időpontja (4. feladat)</t>
        </is>
      </c>
      <c r="C19" s="57" t="n"/>
      <c r="D19" s="24" t="n"/>
    </row>
    <row r="20" ht="31.5" customHeight="1">
      <c r="A20" s="45" t="n">
        <v>0</v>
      </c>
      <c r="B20" s="4" t="inlineStr">
        <is>
          <t>A legnagyobb érték helyes, és az első előfordulás indexét megőrzi (70)</t>
        </is>
      </c>
      <c r="C20" s="37" t="n">
        <v>1</v>
      </c>
      <c r="D20" s="43">
        <f>C20*A20</f>
        <v/>
      </c>
    </row>
    <row r="21" ht="31.5" customHeight="1" thickBot="1">
      <c r="A21" s="45" t="n">
        <v>0</v>
      </c>
      <c r="B21" s="4" t="inlineStr">
        <is>
          <t>Az indexből az időpontot helyesen számítja ki (11:00; 30 perces lépés, 8:00 kezdés)</t>
        </is>
      </c>
      <c r="C21" s="37" t="n">
        <v>1</v>
      </c>
      <c r="D21" s="43">
        <f>C21*A21</f>
        <v/>
      </c>
    </row>
    <row r="22" ht="16.5" customHeight="1" thickBot="1">
      <c r="A22" s="45" t="n">
        <v>0</v>
      </c>
      <c r="B22" s="4" t="inlineStr">
        <is>
          <t>A kiírás a minta szerinti (az időpont óra:perc alakú)</t>
        </is>
      </c>
      <c r="C22" s="37" t="n">
        <v>1</v>
      </c>
      <c r="D22" s="43">
        <f>C22*A22</f>
        <v/>
      </c>
    </row>
    <row r="23" thickBot="1">
      <c r="A23" s="24" t="n"/>
      <c r="B23" s="2" t="inlineStr">
        <is>
          <t>Leadás (5. feladat)</t>
        </is>
      </c>
      <c r="C23" s="57" t="n"/>
      <c r="D23" s="24" t="n"/>
    </row>
    <row r="24" ht="31.5" customHeight="1" thickBot="1">
      <c r="A24" s="45" t="n">
        <v>0</v>
      </c>
      <c r="B24" s="4" t="inlineStr">
        <is>
          <t>A megoldást GitHub repositoryba töltötte fel, és a repository URL-jét feltöltötte a Classroomba</t>
        </is>
      </c>
      <c r="C24" s="37" t="n">
        <v>1</v>
      </c>
      <c r="D24" s="43">
        <f>C24*A24</f>
        <v/>
      </c>
    </row>
    <row r="25">
      <c r="A25" s="24" t="n"/>
      <c r="B25" s="19" t="inlineStr">
        <is>
          <t>Feladatpontok összesen:</t>
        </is>
      </c>
      <c r="C25" s="20">
        <f>SUM(C5:C24)</f>
        <v/>
      </c>
      <c r="D25" s="41">
        <f>SUM(D5:D24)</f>
        <v/>
      </c>
    </row>
    <row r="26">
      <c r="A26" s="24" t="n"/>
      <c r="B26" s="19" t="inlineStr">
        <is>
          <t>Vizsgapont: feladatpontok 15/15 része lefelé egész számra kerekítve</t>
        </is>
      </c>
      <c r="C26" s="34" t="inlineStr">
        <is>
          <t>15 pont</t>
        </is>
      </c>
      <c r="D26" s="17">
        <f>ROUNDDOWN(D25*15/C25,0)</f>
        <v/>
      </c>
    </row>
    <row r="27" thickBot="1"/>
    <row r="28" thickBot="1"/>
    <row r="29">
      <c r="B29" t="n"/>
    </row>
    <row r="30"/>
    <row r="31" thickBot="1"/>
    <row r="32" thickBot="1"/>
    <row r="33">
      <c r="B33" t="n"/>
    </row>
    <row r="34"/>
    <row r="35" thickBot="1">
      <c r="B35" t="n"/>
    </row>
    <row r="36" thickBot="1"/>
    <row r="37"/>
    <row r="38" thickBot="1"/>
    <row r="39" thickBot="1"/>
    <row r="40">
      <c r="B40" t="n"/>
    </row>
    <row r="41" thickBot="1"/>
    <row r="42" thickBot="1"/>
    <row r="43"/>
    <row r="44"/>
    <row r="45"/>
    <row r="46"/>
    <row r="47"/>
    <row r="48"/>
    <row r="49"/>
    <row r="50" thickBot="1"/>
    <row r="51" thickBot="1"/>
    <row r="52" thickBot="1"/>
    <row r="53"/>
    <row r="54" thickBot="1"/>
    <row r="55" thickBot="1"/>
    <row r="56" thickBot="1"/>
    <row r="57" thickBot="1"/>
    <row r="58"/>
    <row r="59" thickBot="1"/>
    <row r="60" thickBot="1"/>
    <row r="61"/>
    <row r="62"/>
    <row r="63"/>
    <row r="64" thickBot="1"/>
    <row r="65" thickBot="1"/>
    <row r="66"/>
    <row r="67"/>
    <row r="68"/>
    <row r="69"/>
    <row r="74" thickBot="1"/>
    <row r="75" thickBot="1"/>
    <row r="82" thickBot="1"/>
    <row r="83" thickBot="1"/>
    <row r="92" thickBot="1"/>
    <row r="93" thickBot="1"/>
    <row r="98" thickBot="1"/>
    <row r="99" thickBot="1"/>
    <row r="100" thickBot="1"/>
    <row r="102" thickBot="1"/>
    <row r="103" thickBot="1"/>
    <row r="104" thickBot="1"/>
    <row r="105" thickBot="1"/>
    <row r="106" thickBot="1"/>
    <row r="107" thickBot="1"/>
    <row r="108" thickBot="1"/>
    <row r="109" thickBot="1"/>
    <row r="110" thickBot="1"/>
    <row r="111" thickBot="1"/>
    <row r="112" thickBot="1"/>
    <row r="113" thickBot="1"/>
    <row r="114" thickBot="1"/>
    <row r="115" thickBot="1"/>
    <row r="116" thickBot="1"/>
    <row r="117" thickBot="1"/>
    <row r="119" thickBot="1"/>
    <row r="120" thickBot="1"/>
    <row r="122" thickBot="1"/>
    <row r="123" thickBot="1"/>
    <row r="125" thickBot="1"/>
    <row r="126" thickBot="1"/>
    <row r="127" thickBot="1"/>
    <row r="128" thickBot="1"/>
    <row r="138" thickBot="1"/>
    <row r="139" thickBot="1"/>
    <row r="140" thickBot="1"/>
    <row r="141" thickBot="1"/>
    <row r="143" thickBot="1"/>
    <row r="144" thickBot="1"/>
    <row r="147" thickBot="1"/>
    <row r="148" thickBot="1"/>
    <row r="151" thickBot="1"/>
    <row r="152" thickBot="1"/>
    <row r="155" thickBot="1"/>
    <row r="156" thickBot="1"/>
    <row r="159" thickBot="1"/>
    <row r="160" thickBot="1"/>
    <row r="164" thickBot="1"/>
    <row r="165" thickBot="1"/>
    <row r="169" thickBot="1"/>
    <row r="170" thickBot="1"/>
    <row r="171" thickBot="1"/>
    <row r="173" thickBot="1"/>
    <row r="174" thickBot="1"/>
    <row r="175" thickBot="1"/>
    <row r="176" thickBot="1"/>
    <row r="178" thickBot="1"/>
    <row r="179" thickBot="1"/>
    <row r="181" thickBot="1"/>
    <row r="182" thickBot="1"/>
    <row r="185" thickBot="1"/>
    <row r="186" thickBot="1"/>
    <row r="191" thickBot="1"/>
    <row r="192" thickBot="1"/>
    <row r="195" thickBot="1"/>
    <row r="196" thickBot="1"/>
    <row r="197" thickBot="1"/>
    <row r="198" thickBot="1"/>
    <row r="199" thickBot="1"/>
    <row r="200" thickBot="1"/>
    <row r="201" thickBot="1"/>
    <row r="202" thickBot="1"/>
    <row r="203" thickBot="1"/>
    <row r="204" thickBo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">
    <mergeCell ref="B15:C15"/>
    <mergeCell ref="B7:C7"/>
    <mergeCell ref="B19:C19"/>
    <mergeCell ref="B10:C10"/>
    <mergeCell ref="B23:C23"/>
    <mergeCell ref="B4:C4"/>
  </mergeCells>
  <dataValidations count="1">
    <dataValidation sqref="A5 A6 A8 A9 A11 A12 A13 A14 A16 A17 A18 A20 A21 A22 A24" showDropDown="0" showInputMessage="0" showErrorMessage="1" allowBlank="1" errorTitle="Hibás adat" error="Csak 0 és 1 értéke lehet a cellának." type="whole" operator="between">
      <formula1>0</formula1>
      <formula2>1</formula2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95" fitToHeight="1" fitToWidth="1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  <rowBreaks count="6" manualBreakCount="6">
    <brk id="31" min="0" max="16383" man="1"/>
    <brk id="64" min="0" max="16383" man="1"/>
    <brk id="100" min="0" max="3" man="1"/>
    <brk id="127" min="0" max="16383" man="1"/>
    <brk id="164" min="0" max="16383" man="1"/>
    <brk id="198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2024-01-10T17:49:54Z</dcterms:created>
  <dcterms:modified xmlns:dcterms="http://purl.org/dc/terms/" xmlns:xsi="http://www.w3.org/2001/XMLSchema-instance" xsi:type="dcterms:W3CDTF">2026-10-09T08:49:42Z</dcterms:modified>
</cp:coreProperties>
</file>